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Budget" sheetId="2" state="visible" r:id="rId4"/>
    <sheet name="Demo Day Ki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<sst xmlns="http://schemas.openxmlformats.org/spreadsheetml/2006/main" count="172" uniqueCount="101">
  <si>
    <t xml:space="preserve">Six-week roadmap: 19 Oct to 29 Nov 2026 (conference 2-4 Dec 2026, PJTAU Hyderabad)</t>
  </si>
  <si>
    <t xml:space="preserve">Yellow cells are for you to update (status). Dates are planned targets from the roadmap.</t>
  </si>
  <si>
    <t xml:space="preserve">Week</t>
  </si>
  <si>
    <t xml:space="preserve">Phase</t>
  </si>
  <si>
    <t xml:space="preserve">Start</t>
  </si>
  <si>
    <t xml:space="preserve">End</t>
  </si>
  <si>
    <t xml:space="preserve">Step</t>
  </si>
  <si>
    <t xml:space="preserve">Task</t>
  </si>
  <si>
    <t xml:space="preserve">Status</t>
  </si>
  <si>
    <t xml:space="preserve">Setup and bench test</t>
  </si>
  <si>
    <t xml:space="preserve">Call Dr. B. Balaji Naik to ask about demo/exhibition space and whether a live demo or poster fits</t>
  </si>
  <si>
    <t xml:space="preserve">Not started</t>
  </si>
  <si>
    <t xml:space="preserve">Order 2 ESP32 boards, capacitive soil sensor, 12V pump with solenoid valve, power adapter</t>
  </si>
  <si>
    <t xml:space="preserve">Wire ESP32 to the kit's sensor board and relay on a breadboard</t>
  </si>
  <si>
    <t xml:space="preserve">Upload a sketch that prints moisture and clicks the relay on/off</t>
  </si>
  <si>
    <t xml:space="preserve">Calibrate sensor: record reading in dry air and in water, map to 0-100%</t>
  </si>
  <si>
    <t xml:space="preserve">Cloud link</t>
  </si>
  <si>
    <t xml:space="preserve">Create Firebase project and Realtime Database</t>
  </si>
  <si>
    <t xml:space="preserve">Program ESP32 to upload moisture every 10-30 seconds and listen for a 'pump' command</t>
  </si>
  <si>
    <t xml:space="preserve">Check that changing the pump value in the Firebase console switches the relay</t>
  </si>
  <si>
    <t xml:space="preserve">App core and weather</t>
  </si>
  <si>
    <t xml:space="preserve">Build web app (PWA) with login, live moisture gauge and pump ON/OFF button</t>
  </si>
  <si>
    <t xml:space="preserve">Add moisture history graph</t>
  </si>
  <si>
    <t xml:space="preserve">Add Open-Meteo forecast and show rain chance</t>
  </si>
  <si>
    <t xml:space="preserve">Add auto mode (pump runs if moisture low and rain chance low) with manual override</t>
  </si>
  <si>
    <t xml:space="preserve">Deploy on Vercel and test from phone on mobile data</t>
  </si>
  <si>
    <t xml:space="preserve">Fertilizer calculator and registration</t>
  </si>
  <si>
    <t xml:space="preserve">Collect recommended doses for 4-5 crops (e.g. sesame, maize, cotton, paddy) from PJTAU/ICAR package of practices</t>
  </si>
  <si>
    <t xml:space="preserve">Build calculator: crop + area + optional soil test values gives dose and quantity of urea, DAP, MOP</t>
  </si>
  <si>
    <t xml:space="preserve">Add note: general recommendation; soil test gives exact doses</t>
  </si>
  <si>
    <t xml:space="preserve">Register via the Google form in the circular before 15 Nov 2026</t>
  </si>
  <si>
    <t xml:space="preserve">Disease diagnosis and mandi prices</t>
  </si>
  <si>
    <t xml:space="preserve">Add photo upload; send image to a vision AI model from a backend function (API key on server only); show likely problem, treatment and 'confirm with extension officer' note</t>
  </si>
  <si>
    <t xml:space="preserve">Test with 20-30 real leaf photos of crops you know well</t>
  </si>
  <si>
    <t xml:space="preserve">Fetch Agmarknet data via data.gov.in API for a few Telangana mandis</t>
  </si>
  <si>
    <t xml:space="preserve">Save a copy of last good prices so the page works if the API fails</t>
  </si>
  <si>
    <t xml:space="preserve">Polish and rehearse</t>
  </si>
  <si>
    <t xml:space="preserve">Add Telugu interface and offline demo mode</t>
  </si>
  <si>
    <t xml:space="preserve">Set up demo bed or pots with pump, tubing and sealed box</t>
  </si>
  <si>
    <t xml:space="preserve">Test the whole system continuously for 2-3 days</t>
  </si>
  <si>
    <t xml:space="preserve">Prepare poster/banner, 3-minute demo script and backup video in case WiFi fails</t>
  </si>
  <si>
    <t xml:space="preserve">Pack</t>
  </si>
  <si>
    <t xml:space="preserve">Pack and travel</t>
  </si>
  <si>
    <t xml:space="preserve">Pack spare ESP32, cables, power strip, phone hotspot and printed QR code for the app link</t>
  </si>
  <si>
    <t xml:space="preserve">Total tasks</t>
  </si>
  <si>
    <t xml:space="preserve">Tasks done</t>
  </si>
  <si>
    <t xml:space="preserve">Progress</t>
  </si>
  <si>
    <t xml:space="preserve">Days until conference (2-Dec-2026)</t>
  </si>
  <si>
    <t xml:space="preserve">Budget estimate (Rs., approximate typical Indian online prices; check current rates before ordering)</t>
  </si>
  <si>
    <t xml:space="preserve">Blue = estimates entered from the roadmap. Yellow = fill in your actual spend. Existing kit already covers the relay, jumper wires, starter pump and sensor.</t>
  </si>
  <si>
    <t xml:space="preserve">Category</t>
  </si>
  <si>
    <t xml:space="preserve">Item</t>
  </si>
  <si>
    <t xml:space="preserve">Min (Rs.)</t>
  </si>
  <si>
    <t xml:space="preserve">Max (Rs.)</t>
  </si>
  <si>
    <t xml:space="preserve">Actual (Rs.)</t>
  </si>
  <si>
    <t xml:space="preserve">Hardware</t>
  </si>
  <si>
    <t xml:space="preserve">2 ESP32 boards</t>
  </si>
  <si>
    <t xml:space="preserve">2 capacitive soil sensors</t>
  </si>
  <si>
    <t xml:space="preserve">Power adapter and cables</t>
  </si>
  <si>
    <t xml:space="preserve">12V pump + solenoid valve + adapter</t>
  </si>
  <si>
    <t xml:space="preserve">Pots, soil, drip tubing, connectors</t>
  </si>
  <si>
    <t xml:space="preserve">Waterproof box, breadboard, wires</t>
  </si>
  <si>
    <t xml:space="preserve">Software</t>
  </si>
  <si>
    <t xml:space="preserve">Vision AI API credits</t>
  </si>
  <si>
    <t xml:space="preserve">Mobile data / hotspot</t>
  </si>
  <si>
    <t xml:space="preserve">Domain name (optional)</t>
  </si>
  <si>
    <t xml:space="preserve">Hosting (Vercel, Firebase free tiers)</t>
  </si>
  <si>
    <t xml:space="preserve">Conference</t>
  </si>
  <si>
    <t xml:space="preserve">Conference registration (Students 1,000; others 3,000)</t>
  </si>
  <si>
    <t xml:space="preserve">Poster / banner printing</t>
  </si>
  <si>
    <t xml:space="preserve">Travel, stay and food for 3 days</t>
  </si>
  <si>
    <t xml:space="preserve">Subtotals</t>
  </si>
  <si>
    <t xml:space="preserve">Hardware subtotal</t>
  </si>
  <si>
    <t xml:space="preserve">Software subtotal</t>
  </si>
  <si>
    <t xml:space="preserve">Conference subtotal</t>
  </si>
  <si>
    <t xml:space="preserve">TOTAL</t>
  </si>
  <si>
    <t xml:space="preserve">Cushion for replacement parts / second sensor</t>
  </si>
  <si>
    <t xml:space="preserve">Assumption: 10% cushion on the max total (from the roadmap advice)</t>
  </si>
  <si>
    <t xml:space="preserve">Max total with cushion</t>
  </si>
  <si>
    <t xml:space="preserve">Budget to keep ready (rounded to nearest Rs. 500)</t>
  </si>
  <si>
    <t xml:space="preserve">Roadmap suggested about Rs. 25,000</t>
  </si>
  <si>
    <t xml:space="preserve">Lean budget (skip domain, cut travel costs)</t>
  </si>
  <si>
    <t xml:space="preserve">Rs. 12,000-15,000 (from roadmap advice)</t>
  </si>
  <si>
    <t xml:space="preserve">Remaining vs. max total (after actual spend)</t>
  </si>
  <si>
    <t xml:space="preserve">Optional: solar setup (not included in totals)</t>
  </si>
  <si>
    <t xml:space="preserve">Optional</t>
  </si>
  <si>
    <t xml:space="preserve">10W panel + charge controller + 12V battery</t>
  </si>
  <si>
    <t xml:space="preserve">Worth it only for a standalone field-style unit; a power socket is enough for a hall demo.</t>
  </si>
  <si>
    <t xml:space="preserve">Pack list (30 Nov - 1 Dec) - tick when packed</t>
  </si>
  <si>
    <t xml:space="preserve">Packed?</t>
  </si>
  <si>
    <t xml:space="preserve">Spare ESP32</t>
  </si>
  <si>
    <t xml:space="preserve">No</t>
  </si>
  <si>
    <t xml:space="preserve">Cables and adapters</t>
  </si>
  <si>
    <t xml:space="preserve">Power strip</t>
  </si>
  <si>
    <t xml:space="preserve">Phone hotspot / mobile data</t>
  </si>
  <si>
    <t xml:space="preserve">Printed QR code for the app link</t>
  </si>
  <si>
    <t xml:space="preserve">Demo bed or pots with pump, tubing and sealed box</t>
  </si>
  <si>
    <t xml:space="preserve">Poster / banner</t>
  </si>
  <si>
    <t xml:space="preserve">3-minute demo script</t>
  </si>
  <si>
    <t xml:space="preserve">Backup video (in case WiFi fails)</t>
  </si>
  <si>
    <t xml:space="preserve">Items packed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</si>
</sst>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General"/>
    <numFmt numFmtId="167" formatCode="0%"/>
    <numFmt numFmtId="168" formatCode="0"/>
    <numFmt numFmtId="169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7"/>
    <col collapsed="false" customWidth="true" hidden="false" outlineLevel="0" max="6" min="6" style="0" width="9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5" t="n">
        <v>46314</v>
      </c>
      <c r="D5" s="5" t="n">
        <v>46320</v>
      </c>
      <c r="E5" s="4" t="n">
        <v>1</v>
      </c>
      <c r="F5" s="4" t="s">
        <v>10</v>
      </c>
      <c r="G5" s="6" t="s">
        <v>11</v>
      </c>
    </row>
    <row r="6" customFormat="false" ht="15" hidden="false" customHeight="false" outlineLevel="0" collapsed="false">
      <c r="A6" s="4" t="n">
        <v>1</v>
      </c>
      <c r="B6" s="4" t="s">
        <v>9</v>
      </c>
      <c r="C6" s="5" t="n">
        <v>46314</v>
      </c>
      <c r="D6" s="5" t="n">
        <v>46320</v>
      </c>
      <c r="E6" s="4" t="n">
        <v>2</v>
      </c>
      <c r="F6" s="4" t="s">
        <v>12</v>
      </c>
      <c r="G6" s="6" t="s">
        <v>11</v>
      </c>
    </row>
    <row r="7" customFormat="false" ht="15" hidden="false" customHeight="false" outlineLevel="0" collapsed="false">
      <c r="A7" s="4" t="n">
        <v>1</v>
      </c>
      <c r="B7" s="4" t="s">
        <v>9</v>
      </c>
      <c r="C7" s="5" t="n">
        <v>46314</v>
      </c>
      <c r="D7" s="5" t="n">
        <v>46320</v>
      </c>
      <c r="E7" s="4" t="n">
        <v>3</v>
      </c>
      <c r="F7" s="4" t="s">
        <v>13</v>
      </c>
      <c r="G7" s="6" t="s">
        <v>11</v>
      </c>
    </row>
    <row r="8" customFormat="false" ht="15" hidden="false" customHeight="false" outlineLevel="0" collapsed="false">
      <c r="A8" s="4" t="n">
        <v>1</v>
      </c>
      <c r="B8" s="4" t="s">
        <v>9</v>
      </c>
      <c r="C8" s="5" t="n">
        <v>46314</v>
      </c>
      <c r="D8" s="5" t="n">
        <v>46320</v>
      </c>
      <c r="E8" s="4" t="n">
        <v>4</v>
      </c>
      <c r="F8" s="4" t="s">
        <v>14</v>
      </c>
      <c r="G8" s="6" t="s">
        <v>11</v>
      </c>
    </row>
    <row r="9" customFormat="false" ht="15" hidden="false" customHeight="false" outlineLevel="0" collapsed="false">
      <c r="A9" s="4" t="n">
        <v>1</v>
      </c>
      <c r="B9" s="4" t="s">
        <v>9</v>
      </c>
      <c r="C9" s="5" t="n">
        <v>46314</v>
      </c>
      <c r="D9" s="5" t="n">
        <v>46320</v>
      </c>
      <c r="E9" s="4" t="n">
        <v>5</v>
      </c>
      <c r="F9" s="4" t="s">
        <v>15</v>
      </c>
      <c r="G9" s="6" t="s">
        <v>11</v>
      </c>
    </row>
    <row r="10" customFormat="false" ht="15" hidden="false" customHeight="false" outlineLevel="0" collapsed="false">
      <c r="A10" s="4" t="n">
        <v>2</v>
      </c>
      <c r="B10" s="4" t="s">
        <v>16</v>
      </c>
      <c r="C10" s="5" t="n">
        <v>46321</v>
      </c>
      <c r="D10" s="5" t="n">
        <v>46327</v>
      </c>
      <c r="E10" s="4" t="n">
        <v>1</v>
      </c>
      <c r="F10" s="4" t="s">
        <v>17</v>
      </c>
      <c r="G10" s="6" t="s">
        <v>11</v>
      </c>
    </row>
    <row r="11" customFormat="false" ht="15" hidden="false" customHeight="false" outlineLevel="0" collapsed="false">
      <c r="A11" s="4" t="n">
        <v>2</v>
      </c>
      <c r="B11" s="4" t="s">
        <v>16</v>
      </c>
      <c r="C11" s="5" t="n">
        <v>46321</v>
      </c>
      <c r="D11" s="5" t="n">
        <v>46327</v>
      </c>
      <c r="E11" s="4" t="n">
        <v>2</v>
      </c>
      <c r="F11" s="4" t="s">
        <v>18</v>
      </c>
      <c r="G11" s="6" t="s">
        <v>11</v>
      </c>
    </row>
    <row r="12" customFormat="false" ht="15" hidden="false" customHeight="false" outlineLevel="0" collapsed="false">
      <c r="A12" s="4" t="n">
        <v>2</v>
      </c>
      <c r="B12" s="4" t="s">
        <v>16</v>
      </c>
      <c r="C12" s="5" t="n">
        <v>46321</v>
      </c>
      <c r="D12" s="5" t="n">
        <v>46327</v>
      </c>
      <c r="E12" s="4" t="n">
        <v>3</v>
      </c>
      <c r="F12" s="4" t="s">
        <v>19</v>
      </c>
      <c r="G12" s="6" t="s">
        <v>11</v>
      </c>
    </row>
    <row r="13" customFormat="false" ht="15" hidden="false" customHeight="false" outlineLevel="0" collapsed="false">
      <c r="A13" s="4" t="n">
        <v>3</v>
      </c>
      <c r="B13" s="4" t="s">
        <v>20</v>
      </c>
      <c r="C13" s="5" t="n">
        <v>46328</v>
      </c>
      <c r="D13" s="5" t="n">
        <v>46334</v>
      </c>
      <c r="E13" s="4" t="n">
        <v>1</v>
      </c>
      <c r="F13" s="4" t="s">
        <v>21</v>
      </c>
      <c r="G13" s="6" t="s">
        <v>11</v>
      </c>
    </row>
    <row r="14" customFormat="false" ht="15" hidden="false" customHeight="false" outlineLevel="0" collapsed="false">
      <c r="A14" s="4" t="n">
        <v>3</v>
      </c>
      <c r="B14" s="4" t="s">
        <v>20</v>
      </c>
      <c r="C14" s="5" t="n">
        <v>46328</v>
      </c>
      <c r="D14" s="5" t="n">
        <v>46334</v>
      </c>
      <c r="E14" s="4" t="n">
        <v>2</v>
      </c>
      <c r="F14" s="4" t="s">
        <v>22</v>
      </c>
      <c r="G14" s="6" t="s">
        <v>11</v>
      </c>
    </row>
    <row r="15" customFormat="false" ht="15" hidden="false" customHeight="false" outlineLevel="0" collapsed="false">
      <c r="A15" s="4" t="n">
        <v>3</v>
      </c>
      <c r="B15" s="4" t="s">
        <v>20</v>
      </c>
      <c r="C15" s="5" t="n">
        <v>46328</v>
      </c>
      <c r="D15" s="5" t="n">
        <v>46334</v>
      </c>
      <c r="E15" s="4" t="n">
        <v>3</v>
      </c>
      <c r="F15" s="4" t="s">
        <v>23</v>
      </c>
      <c r="G15" s="6" t="s">
        <v>11</v>
      </c>
    </row>
    <row r="16" customFormat="false" ht="15" hidden="false" customHeight="false" outlineLevel="0" collapsed="false">
      <c r="A16" s="4" t="n">
        <v>3</v>
      </c>
      <c r="B16" s="4" t="s">
        <v>20</v>
      </c>
      <c r="C16" s="5" t="n">
        <v>46328</v>
      </c>
      <c r="D16" s="5" t="n">
        <v>46334</v>
      </c>
      <c r="E16" s="4" t="n">
        <v>4</v>
      </c>
      <c r="F16" s="4" t="s">
        <v>24</v>
      </c>
      <c r="G16" s="6" t="s">
        <v>11</v>
      </c>
    </row>
    <row r="17" customFormat="false" ht="15" hidden="false" customHeight="false" outlineLevel="0" collapsed="false">
      <c r="A17" s="4" t="n">
        <v>3</v>
      </c>
      <c r="B17" s="4" t="s">
        <v>20</v>
      </c>
      <c r="C17" s="5" t="n">
        <v>46328</v>
      </c>
      <c r="D17" s="5" t="n">
        <v>46334</v>
      </c>
      <c r="E17" s="4" t="n">
        <v>5</v>
      </c>
      <c r="F17" s="4" t="s">
        <v>25</v>
      </c>
      <c r="G17" s="6" t="s">
        <v>11</v>
      </c>
    </row>
    <row r="18" customFormat="false" ht="23.85" hidden="false" customHeight="false" outlineLevel="0" collapsed="false">
      <c r="A18" s="4" t="n">
        <v>4</v>
      </c>
      <c r="B18" s="4" t="s">
        <v>26</v>
      </c>
      <c r="C18" s="5" t="n">
        <v>46335</v>
      </c>
      <c r="D18" s="5" t="n">
        <v>46341</v>
      </c>
      <c r="E18" s="4" t="n">
        <v>1</v>
      </c>
      <c r="F18" s="4" t="s">
        <v>27</v>
      </c>
      <c r="G18" s="6" t="s">
        <v>11</v>
      </c>
    </row>
    <row r="19" customFormat="false" ht="15" hidden="false" customHeight="false" outlineLevel="0" collapsed="false">
      <c r="A19" s="4" t="n">
        <v>4</v>
      </c>
      <c r="B19" s="4" t="s">
        <v>26</v>
      </c>
      <c r="C19" s="5" t="n">
        <v>46335</v>
      </c>
      <c r="D19" s="5" t="n">
        <v>46341</v>
      </c>
      <c r="E19" s="4" t="n">
        <v>2</v>
      </c>
      <c r="F19" s="4" t="s">
        <v>28</v>
      </c>
      <c r="G19" s="6" t="s">
        <v>11</v>
      </c>
    </row>
    <row r="20" customFormat="false" ht="15" hidden="false" customHeight="false" outlineLevel="0" collapsed="false">
      <c r="A20" s="4" t="n">
        <v>4</v>
      </c>
      <c r="B20" s="4" t="s">
        <v>26</v>
      </c>
      <c r="C20" s="5" t="n">
        <v>46335</v>
      </c>
      <c r="D20" s="5" t="n">
        <v>46341</v>
      </c>
      <c r="E20" s="4" t="n">
        <v>3</v>
      </c>
      <c r="F20" s="4" t="s">
        <v>29</v>
      </c>
      <c r="G20" s="6" t="s">
        <v>11</v>
      </c>
    </row>
    <row r="21" customFormat="false" ht="15" hidden="false" customHeight="false" outlineLevel="0" collapsed="false">
      <c r="A21" s="4" t="n">
        <v>4</v>
      </c>
      <c r="B21" s="4" t="s">
        <v>26</v>
      </c>
      <c r="C21" s="5" t="n">
        <v>46335</v>
      </c>
      <c r="D21" s="5" t="n">
        <v>46341</v>
      </c>
      <c r="E21" s="4" t="n">
        <v>4</v>
      </c>
      <c r="F21" s="4" t="s">
        <v>30</v>
      </c>
      <c r="G21" s="6" t="s">
        <v>11</v>
      </c>
    </row>
    <row r="22" customFormat="false" ht="23.85" hidden="false" customHeight="false" outlineLevel="0" collapsed="false">
      <c r="A22" s="4" t="n">
        <v>5</v>
      </c>
      <c r="B22" s="4" t="s">
        <v>31</v>
      </c>
      <c r="C22" s="5" t="n">
        <v>46342</v>
      </c>
      <c r="D22" s="5" t="n">
        <v>46348</v>
      </c>
      <c r="E22" s="4" t="n">
        <v>1</v>
      </c>
      <c r="F22" s="4" t="s">
        <v>32</v>
      </c>
      <c r="G22" s="6" t="s">
        <v>11</v>
      </c>
    </row>
    <row r="23" customFormat="false" ht="15" hidden="false" customHeight="false" outlineLevel="0" collapsed="false">
      <c r="A23" s="4" t="n">
        <v>5</v>
      </c>
      <c r="B23" s="4" t="s">
        <v>31</v>
      </c>
      <c r="C23" s="5" t="n">
        <v>46342</v>
      </c>
      <c r="D23" s="5" t="n">
        <v>46348</v>
      </c>
      <c r="E23" s="4" t="n">
        <v>2</v>
      </c>
      <c r="F23" s="4" t="s">
        <v>33</v>
      </c>
      <c r="G23" s="6" t="s">
        <v>11</v>
      </c>
    </row>
    <row r="24" customFormat="false" ht="15" hidden="false" customHeight="false" outlineLevel="0" collapsed="false">
      <c r="A24" s="4" t="n">
        <v>5</v>
      </c>
      <c r="B24" s="4" t="s">
        <v>31</v>
      </c>
      <c r="C24" s="5" t="n">
        <v>46342</v>
      </c>
      <c r="D24" s="5" t="n">
        <v>46348</v>
      </c>
      <c r="E24" s="4" t="n">
        <v>3</v>
      </c>
      <c r="F24" s="4" t="s">
        <v>34</v>
      </c>
      <c r="G24" s="6" t="s">
        <v>11</v>
      </c>
    </row>
    <row r="25" customFormat="false" ht="15" hidden="false" customHeight="false" outlineLevel="0" collapsed="false">
      <c r="A25" s="4" t="n">
        <v>5</v>
      </c>
      <c r="B25" s="4" t="s">
        <v>31</v>
      </c>
      <c r="C25" s="5" t="n">
        <v>46342</v>
      </c>
      <c r="D25" s="5" t="n">
        <v>46348</v>
      </c>
      <c r="E25" s="4" t="n">
        <v>4</v>
      </c>
      <c r="F25" s="4" t="s">
        <v>35</v>
      </c>
      <c r="G25" s="6" t="s">
        <v>11</v>
      </c>
    </row>
    <row r="26" customFormat="false" ht="15" hidden="false" customHeight="false" outlineLevel="0" collapsed="false">
      <c r="A26" s="4" t="n">
        <v>6</v>
      </c>
      <c r="B26" s="4" t="s">
        <v>36</v>
      </c>
      <c r="C26" s="5" t="n">
        <v>46349</v>
      </c>
      <c r="D26" s="5" t="n">
        <v>46355</v>
      </c>
      <c r="E26" s="4" t="n">
        <v>1</v>
      </c>
      <c r="F26" s="4" t="s">
        <v>37</v>
      </c>
      <c r="G26" s="6" t="s">
        <v>11</v>
      </c>
    </row>
    <row r="27" customFormat="false" ht="15" hidden="false" customHeight="false" outlineLevel="0" collapsed="false">
      <c r="A27" s="4" t="n">
        <v>6</v>
      </c>
      <c r="B27" s="4" t="s">
        <v>36</v>
      </c>
      <c r="C27" s="5" t="n">
        <v>46349</v>
      </c>
      <c r="D27" s="5" t="n">
        <v>46355</v>
      </c>
      <c r="E27" s="4" t="n">
        <v>2</v>
      </c>
      <c r="F27" s="4" t="s">
        <v>38</v>
      </c>
      <c r="G27" s="6" t="s">
        <v>11</v>
      </c>
    </row>
    <row r="28" customFormat="false" ht="15" hidden="false" customHeight="false" outlineLevel="0" collapsed="false">
      <c r="A28" s="4" t="n">
        <v>6</v>
      </c>
      <c r="B28" s="4" t="s">
        <v>36</v>
      </c>
      <c r="C28" s="5" t="n">
        <v>46349</v>
      </c>
      <c r="D28" s="5" t="n">
        <v>46355</v>
      </c>
      <c r="E28" s="4" t="n">
        <v>3</v>
      </c>
      <c r="F28" s="4" t="s">
        <v>39</v>
      </c>
      <c r="G28" s="6" t="s">
        <v>11</v>
      </c>
    </row>
    <row r="29" customFormat="false" ht="15" hidden="false" customHeight="false" outlineLevel="0" collapsed="false">
      <c r="A29" s="4" t="n">
        <v>6</v>
      </c>
      <c r="B29" s="4" t="s">
        <v>36</v>
      </c>
      <c r="C29" s="5" t="n">
        <v>46349</v>
      </c>
      <c r="D29" s="5" t="n">
        <v>46355</v>
      </c>
      <c r="E29" s="4" t="n">
        <v>4</v>
      </c>
      <c r="F29" s="4" t="s">
        <v>40</v>
      </c>
      <c r="G29" s="6" t="s">
        <v>11</v>
      </c>
    </row>
    <row r="30" customFormat="false" ht="15" hidden="false" customHeight="false" outlineLevel="0" collapsed="false">
      <c r="A30" s="4" t="s">
        <v>41</v>
      </c>
      <c r="B30" s="4" t="s">
        <v>42</v>
      </c>
      <c r="C30" s="5" t="n">
        <v>46356</v>
      </c>
      <c r="D30" s="5" t="n">
        <v>46357</v>
      </c>
      <c r="E30" s="4" t="n">
        <v>1</v>
      </c>
      <c r="F30" s="4" t="s">
        <v>43</v>
      </c>
      <c r="G30" s="6" t="s">
        <v>11</v>
      </c>
    </row>
    <row r="32" customFormat="false" ht="15" hidden="false" customHeight="false" outlineLevel="0" collapsed="false">
      <c r="F32" s="7" t="s">
        <v>44</v>
      </c>
      <c r="G32" s="8" t="n">
        <f aca="false">COUNTA(F5:F30)</f>
        <v>26</v>
      </c>
    </row>
    <row r="33" customFormat="false" ht="15" hidden="false" customHeight="false" outlineLevel="0" collapsed="false">
      <c r="F33" s="7" t="s">
        <v>45</v>
      </c>
      <c r="G33" s="8" t="n">
        <f aca="false">COUNTIF(G5:G30,"Done")</f>
        <v>0</v>
      </c>
    </row>
    <row r="34" customFormat="false" ht="15" hidden="false" customHeight="false" outlineLevel="0" collapsed="false">
      <c r="F34" s="7" t="s">
        <v>46</v>
      </c>
      <c r="G34" s="9" t="n">
        <f aca="false">IF(G32=0,0,G33/G32)</f>
        <v>0</v>
      </c>
    </row>
    <row r="35" customFormat="false" ht="15" hidden="false" customHeight="false" outlineLevel="0" collapsed="false">
      <c r="F35" s="7" t="s">
        <v>47</v>
      </c>
      <c r="G35" s="10" t="n">
        <f aca="true">DATE(2026,12,2)-TODAY()</f>
        <v>44</v>
      </c>
    </row>
  </sheetData>
  <dataValidations count="1">
    <dataValidation allowBlank="false" errorStyle="stop" operator="between" showDropDown="false" showErrorMessage="false" showInputMessage="false" sqref="G5:G3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11" t="n">
        <v>700</v>
      </c>
      <c r="D5" s="11" t="n">
        <v>1000</v>
      </c>
      <c r="E5" s="12"/>
    </row>
    <row r="6" customFormat="false" ht="15" hidden="false" customHeight="false" outlineLevel="0" collapsed="false">
      <c r="A6" s="4" t="s">
        <v>55</v>
      </c>
      <c r="B6" s="4" t="s">
        <v>57</v>
      </c>
      <c r="C6" s="11" t="n">
        <v>300</v>
      </c>
      <c r="D6" s="11" t="n">
        <v>500</v>
      </c>
      <c r="E6" s="12"/>
    </row>
    <row r="7" customFormat="false" ht="15" hidden="false" customHeight="false" outlineLevel="0" collapsed="false">
      <c r="A7" s="4" t="s">
        <v>55</v>
      </c>
      <c r="B7" s="4" t="s">
        <v>58</v>
      </c>
      <c r="C7" s="11" t="n">
        <v>300</v>
      </c>
      <c r="D7" s="11" t="n">
        <v>500</v>
      </c>
      <c r="E7" s="12"/>
    </row>
    <row r="8" customFormat="false" ht="15" hidden="false" customHeight="false" outlineLevel="0" collapsed="false">
      <c r="A8" s="4" t="s">
        <v>55</v>
      </c>
      <c r="B8" s="4" t="s">
        <v>59</v>
      </c>
      <c r="C8" s="11" t="n">
        <v>1000</v>
      </c>
      <c r="D8" s="11" t="n">
        <v>2000</v>
      </c>
      <c r="E8" s="12"/>
    </row>
    <row r="9" customFormat="false" ht="15" hidden="false" customHeight="false" outlineLevel="0" collapsed="false">
      <c r="A9" s="4" t="s">
        <v>55</v>
      </c>
      <c r="B9" s="4" t="s">
        <v>60</v>
      </c>
      <c r="C9" s="11" t="n">
        <v>500</v>
      </c>
      <c r="D9" s="11" t="n">
        <v>1000</v>
      </c>
      <c r="E9" s="12"/>
    </row>
    <row r="10" customFormat="false" ht="15" hidden="false" customHeight="false" outlineLevel="0" collapsed="false">
      <c r="A10" s="4" t="s">
        <v>55</v>
      </c>
      <c r="B10" s="4" t="s">
        <v>61</v>
      </c>
      <c r="C10" s="11" t="n">
        <v>400</v>
      </c>
      <c r="D10" s="11" t="n">
        <v>800</v>
      </c>
      <c r="E10" s="12"/>
    </row>
    <row r="11" customFormat="false" ht="15" hidden="false" customHeight="false" outlineLevel="0" collapsed="false">
      <c r="A11" s="4" t="s">
        <v>62</v>
      </c>
      <c r="B11" s="4" t="s">
        <v>63</v>
      </c>
      <c r="C11" s="11" t="n">
        <v>500</v>
      </c>
      <c r="D11" s="11" t="n">
        <v>1500</v>
      </c>
      <c r="E11" s="12"/>
    </row>
    <row r="12" customFormat="false" ht="15" hidden="false" customHeight="false" outlineLevel="0" collapsed="false">
      <c r="A12" s="4" t="s">
        <v>62</v>
      </c>
      <c r="B12" s="4" t="s">
        <v>64</v>
      </c>
      <c r="C12" s="11" t="n">
        <v>300</v>
      </c>
      <c r="D12" s="11" t="n">
        <v>600</v>
      </c>
      <c r="E12" s="12"/>
    </row>
    <row r="13" customFormat="false" ht="15" hidden="false" customHeight="false" outlineLevel="0" collapsed="false">
      <c r="A13" s="4" t="s">
        <v>62</v>
      </c>
      <c r="B13" s="4" t="s">
        <v>65</v>
      </c>
      <c r="C13" s="11" t="n">
        <v>0</v>
      </c>
      <c r="D13" s="11" t="n">
        <v>1000</v>
      </c>
      <c r="E13" s="12"/>
    </row>
    <row r="14" customFormat="false" ht="15" hidden="false" customHeight="false" outlineLevel="0" collapsed="false">
      <c r="A14" s="4" t="s">
        <v>62</v>
      </c>
      <c r="B14" s="4" t="s">
        <v>66</v>
      </c>
      <c r="C14" s="11" t="n">
        <v>0</v>
      </c>
      <c r="D14" s="11" t="n">
        <v>0</v>
      </c>
      <c r="E14" s="12"/>
    </row>
    <row r="15" customFormat="false" ht="15" hidden="false" customHeight="false" outlineLevel="0" collapsed="false">
      <c r="A15" s="4" t="s">
        <v>67</v>
      </c>
      <c r="B15" s="4" t="s">
        <v>68</v>
      </c>
      <c r="C15" s="11" t="n">
        <v>1000</v>
      </c>
      <c r="D15" s="11" t="n">
        <v>3000</v>
      </c>
      <c r="E15" s="12"/>
    </row>
    <row r="16" customFormat="false" ht="15" hidden="false" customHeight="false" outlineLevel="0" collapsed="false">
      <c r="A16" s="4" t="s">
        <v>67</v>
      </c>
      <c r="B16" s="4" t="s">
        <v>69</v>
      </c>
      <c r="C16" s="11" t="n">
        <v>500</v>
      </c>
      <c r="D16" s="11" t="n">
        <v>1500</v>
      </c>
      <c r="E16" s="12"/>
    </row>
    <row r="17" customFormat="false" ht="15" hidden="false" customHeight="false" outlineLevel="0" collapsed="false">
      <c r="A17" s="4" t="s">
        <v>67</v>
      </c>
      <c r="B17" s="4" t="s">
        <v>70</v>
      </c>
      <c r="C17" s="11" t="n">
        <v>3000</v>
      </c>
      <c r="D17" s="11" t="n">
        <v>10000</v>
      </c>
      <c r="E17" s="12"/>
    </row>
    <row r="19" customFormat="false" ht="15" hidden="false" customHeight="false" outlineLevel="0" collapsed="false">
      <c r="A19" s="7" t="s">
        <v>71</v>
      </c>
    </row>
    <row r="20" customFormat="false" ht="15" hidden="false" customHeight="false" outlineLevel="0" collapsed="false">
      <c r="A20" s="13" t="s">
        <v>55</v>
      </c>
      <c r="B20" s="14" t="s">
        <v>72</v>
      </c>
      <c r="C20" s="15" t="n">
        <f aca="false">SUMIFS(C$5:C$17,$A$5:$A$17,$A20)</f>
        <v>3200</v>
      </c>
      <c r="D20" s="15" t="n">
        <f aca="false">SUMIFS(D$5:D$17,$A$5:$A$17,$A20)</f>
        <v>5800</v>
      </c>
      <c r="E20" s="15" t="n">
        <f aca="false">SUMIFS(E$5:E$17,$A$5:$A$17,$A20)</f>
        <v>0</v>
      </c>
    </row>
    <row r="21" customFormat="false" ht="15" hidden="false" customHeight="false" outlineLevel="0" collapsed="false">
      <c r="A21" s="13" t="s">
        <v>62</v>
      </c>
      <c r="B21" s="14" t="s">
        <v>73</v>
      </c>
      <c r="C21" s="15" t="n">
        <f aca="false">SUMIFS(C$5:C$17,$A$5:$A$17,$A21)</f>
        <v>800</v>
      </c>
      <c r="D21" s="15" t="n">
        <f aca="false">SUMIFS(D$5:D$17,$A$5:$A$17,$A21)</f>
        <v>3100</v>
      </c>
      <c r="E21" s="15" t="n">
        <f aca="false">SUMIFS(E$5:E$17,$A$5:$A$17,$A21)</f>
        <v>0</v>
      </c>
    </row>
    <row r="22" customFormat="false" ht="15" hidden="false" customHeight="false" outlineLevel="0" collapsed="false">
      <c r="A22" s="13" t="s">
        <v>67</v>
      </c>
      <c r="B22" s="14" t="s">
        <v>74</v>
      </c>
      <c r="C22" s="15" t="n">
        <f aca="false">SUMIFS(C$5:C$17,$A$5:$A$17,$A22)</f>
        <v>4500</v>
      </c>
      <c r="D22" s="15" t="n">
        <f aca="false">SUMIFS(D$5:D$17,$A$5:$A$17,$A22)</f>
        <v>14500</v>
      </c>
      <c r="E22" s="15" t="n">
        <f aca="false">SUMIFS(E$5:E$17,$A$5:$A$17,$A22)</f>
        <v>0</v>
      </c>
    </row>
    <row r="23" customFormat="false" ht="15" hidden="false" customHeight="false" outlineLevel="0" collapsed="false">
      <c r="A23" s="13" t="s">
        <v>75</v>
      </c>
      <c r="B23" s="16"/>
      <c r="C23" s="17" t="n">
        <f aca="false">SUM(C5:C17)</f>
        <v>8500</v>
      </c>
      <c r="D23" s="17" t="n">
        <f aca="false">SUM(D5:D17)</f>
        <v>23400</v>
      </c>
      <c r="E23" s="17" t="n">
        <f aca="false">SUM(E5:E17)</f>
        <v>0</v>
      </c>
    </row>
    <row r="25" customFormat="false" ht="15" hidden="false" customHeight="false" outlineLevel="0" collapsed="false">
      <c r="A25" s="7" t="s">
        <v>76</v>
      </c>
      <c r="C25" s="18" t="n">
        <v>0.1</v>
      </c>
      <c r="D25" s="19" t="s">
        <v>77</v>
      </c>
    </row>
    <row r="26" customFormat="false" ht="15" hidden="false" customHeight="false" outlineLevel="0" collapsed="false">
      <c r="A26" s="7" t="s">
        <v>78</v>
      </c>
      <c r="D26" s="20" t="n">
        <f aca="false">D23*(1+C25)</f>
        <v>25740</v>
      </c>
    </row>
    <row r="27" customFormat="false" ht="15" hidden="false" customHeight="false" outlineLevel="0" collapsed="false">
      <c r="A27" s="7" t="s">
        <v>79</v>
      </c>
      <c r="D27" s="20" t="n">
        <f aca="false">MROUND(D26,500)</f>
        <v>25500</v>
      </c>
      <c r="E27" s="19" t="s">
        <v>80</v>
      </c>
    </row>
    <row r="28" customFormat="false" ht="15" hidden="false" customHeight="false" outlineLevel="0" collapsed="false">
      <c r="A28" s="7" t="s">
        <v>81</v>
      </c>
      <c r="D28" s="8" t="s">
        <v>82</v>
      </c>
    </row>
    <row r="29" customFormat="false" ht="15" hidden="false" customHeight="false" outlineLevel="0" collapsed="false">
      <c r="A29" s="7" t="s">
        <v>83</v>
      </c>
      <c r="D29" s="21" t="n">
        <f aca="false">D23-E23</f>
        <v>23400</v>
      </c>
    </row>
    <row r="31" customFormat="false" ht="15" hidden="false" customHeight="false" outlineLevel="0" collapsed="false">
      <c r="A31" s="7" t="s">
        <v>84</v>
      </c>
    </row>
    <row r="32" customFormat="false" ht="15" hidden="false" customHeight="false" outlineLevel="0" collapsed="false">
      <c r="A32" s="3" t="s">
        <v>50</v>
      </c>
      <c r="B32" s="3" t="s">
        <v>51</v>
      </c>
      <c r="C32" s="3" t="s">
        <v>52</v>
      </c>
      <c r="D32" s="3" t="s">
        <v>53</v>
      </c>
      <c r="E32" s="3" t="s">
        <v>54</v>
      </c>
    </row>
    <row r="33" customFormat="false" ht="15" hidden="false" customHeight="false" outlineLevel="0" collapsed="false">
      <c r="A33" s="4" t="s">
        <v>85</v>
      </c>
      <c r="B33" s="4" t="s">
        <v>86</v>
      </c>
      <c r="C33" s="11" t="n">
        <v>2500</v>
      </c>
      <c r="D33" s="11" t="n">
        <v>4000</v>
      </c>
      <c r="E33" s="22"/>
    </row>
    <row r="34" customFormat="false" ht="15" hidden="false" customHeight="false" outlineLevel="0" collapsed="false">
      <c r="A34" s="19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88</v>
      </c>
    </row>
    <row r="3" customFormat="false" ht="15" hidden="false" customHeight="false" outlineLevel="0" collapsed="false">
      <c r="A3" s="3" t="s">
        <v>51</v>
      </c>
      <c r="B3" s="3" t="s">
        <v>89</v>
      </c>
    </row>
    <row r="4" customFormat="false" ht="15" hidden="false" customHeight="false" outlineLevel="0" collapsed="false">
      <c r="A4" s="23" t="s">
        <v>90</v>
      </c>
      <c r="B4" s="24" t="s">
        <v>91</v>
      </c>
    </row>
    <row r="5" customFormat="false" ht="15" hidden="false" customHeight="false" outlineLevel="0" collapsed="false">
      <c r="A5" s="23" t="s">
        <v>92</v>
      </c>
      <c r="B5" s="24" t="s">
        <v>91</v>
      </c>
    </row>
    <row r="6" customFormat="false" ht="15" hidden="false" customHeight="false" outlineLevel="0" collapsed="false">
      <c r="A6" s="23" t="s">
        <v>93</v>
      </c>
      <c r="B6" s="24" t="s">
        <v>91</v>
      </c>
    </row>
    <row r="7" customFormat="false" ht="15" hidden="false" customHeight="false" outlineLevel="0" collapsed="false">
      <c r="A7" s="23" t="s">
        <v>94</v>
      </c>
      <c r="B7" s="24" t="s">
        <v>91</v>
      </c>
    </row>
    <row r="8" customFormat="false" ht="15" hidden="false" customHeight="false" outlineLevel="0" collapsed="false">
      <c r="A8" s="23" t="s">
        <v>95</v>
      </c>
      <c r="B8" s="24" t="s">
        <v>91</v>
      </c>
    </row>
    <row r="9" customFormat="false" ht="15" hidden="false" customHeight="false" outlineLevel="0" collapsed="false">
      <c r="A9" s="23" t="s">
        <v>96</v>
      </c>
      <c r="B9" s="24" t="s">
        <v>91</v>
      </c>
    </row>
    <row r="10" customFormat="false" ht="15" hidden="false" customHeight="false" outlineLevel="0" collapsed="false">
      <c r="A10" s="23" t="s">
        <v>97</v>
      </c>
      <c r="B10" s="24" t="s">
        <v>91</v>
      </c>
    </row>
    <row r="11" customFormat="false" ht="15" hidden="false" customHeight="false" outlineLevel="0" collapsed="false">
      <c r="A11" s="23" t="s">
        <v>98</v>
      </c>
      <c r="B11" s="24" t="s">
        <v>91</v>
      </c>
    </row>
    <row r="12" customFormat="false" ht="15" hidden="false" customHeight="false" outlineLevel="0" collapsed="false">
      <c r="A12" s="23" t="s">
        <v>99</v>
      </c>
      <c r="B12" s="24" t="s">
        <v>91</v>
      </c>
    </row>
    <row r="14" customFormat="false" ht="15" hidden="false" customHeight="false" outlineLevel="0" collapsed="false">
      <c r="A14" s="7" t="s">
        <v>100</v>
      </c>
      <c r="B14" s="8" t="str">
        <f aca="false">COUNTIF(B4:B12,"Yes")&amp;" / "&amp;COUNTA(A4:A12)</f>
        <v>0 / 9</v>
      </c>
    </row>
  </sheetData>
  <dataValidations count="1">
    <dataValidation allowBlank="false" errorStyle="stop" operator="between" showDropDown="false" showErrorMessage="false" showInputMessage="false" sqref="B4:B12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2026-10-19T04:26:28Z</dcterms:created>
  <dc:creator>openpyxl</dc:creator>
  <dc:description/>
  <dc:language>en-US</dc:language>
  <cp:lastModifiedBy/>
  <dcterms:modified xsi:type="dcterms:W3CDTF">2026-10-19T04:26:28Z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