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ard Comparison" sheetId="1" state="visible" r:id="rId3"/>
    <sheet name="Order Plan" sheetId="2" state="visible" r:id="rId4"/>
    <sheet name="Checks and 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<sst xmlns="http://schemas.openxmlformats.org/spreadsheetml/2006/main" count="82" uniqueCount="70">
  <si>
    <t xml:space="preserve">Which ESP32 board to order (from your three Amazon screenshots)</t>
  </si>
  <si>
    <t xml:space="preserve">Listing</t>
  </si>
  <si>
    <t xml:space="preserve">Seller / store</t>
  </si>
  <si>
    <t xml:space="preserve">What it is</t>
  </si>
  <si>
    <t xml:space="preserve">Rating (as shown)</t>
  </si>
  <si>
    <t xml:space="preserve">Use it?</t>
  </si>
  <si>
    <t xml:space="preserve">Robocraze ESP32 WiFi Bluetooth Dual-Core Development Board (image 2)</t>
  </si>
  <si>
    <t xml:space="preserve">Robocraze Store</t>
  </si>
  <si>
    <t xml:space="preserve">The real ESP32 board: ESP32 chip, WiFi, Bluetooth and a USB port</t>
  </si>
  <si>
    <t xml:space="preserve">4.0 (180 ratings)</t>
  </si>
  <si>
    <t xml:space="preserve">YES - order this</t>
  </si>
  <si>
    <t xml:space="preserve">TekBud ESP32 30-Pin Expansion Board (image 1)</t>
  </si>
  <si>
    <t xml:space="preserve">TekBud</t>
  </si>
  <si>
    <t xml:space="preserve">Empty base board with pin sockets, power jack and Type-C/Micro USB. No ESP32 chip on it.</t>
  </si>
  <si>
    <t xml:space="preserve">4.6 (19 ratings)</t>
  </si>
  <si>
    <t xml:space="preserve">Optional extra (safer of the two expansion boards)</t>
  </si>
  <si>
    <t xml:space="preserve">ROBOMALLS ESP-32 ESP32S Expansion Board 30 Pin (image 3)</t>
  </si>
  <si>
    <t xml:space="preserve">ROBOMALLS Store</t>
  </si>
  <si>
    <t xml:space="preserve">Same kind of base board, no ESP32 chip on it</t>
  </si>
  <si>
    <t xml:space="preserve">5.0 (2 ratings)</t>
  </si>
  <si>
    <t xml:space="preserve">Optional extra (few reviews)</t>
  </si>
  <si>
    <t xml:space="preserve">Sponsored: Digispark ATtiny85 (top of image 1)</t>
  </si>
  <si>
    <t xml:space="preserve">Rudr Mart</t>
  </si>
  <si>
    <t xml:space="preserve">Small board with no WiFi</t>
  </si>
  <si>
    <t xml:space="preserve">-</t>
  </si>
  <si>
    <t xml:space="preserve">No</t>
  </si>
  <si>
    <t xml:space="preserve">Sponsored: ESP32 C3 Mini (top of image 2)</t>
  </si>
  <si>
    <t xml:space="preserve">Silicon TechnoLabs</t>
  </si>
  <si>
    <t xml:space="preserve">Different, smaller ESP32-C3 chip with fewer pins</t>
  </si>
  <si>
    <t xml:space="preserve">The expansion boards do nothing on their own: the ESP32 board plugs into them and they only make wiring easier.</t>
  </si>
  <si>
    <t xml:space="preserve">Order plan</t>
  </si>
  <si>
    <t xml:space="preserve">Yellow cells are for you: enter the current Amazon price and adjust quantity. Prices were not visible in your screenshots, so none are assumed.</t>
  </si>
  <si>
    <t xml:space="preserve">Item</t>
  </si>
  <si>
    <t xml:space="preserve">Qty</t>
  </si>
  <si>
    <t xml:space="preserve">Unit price (Rs.)</t>
  </si>
  <si>
    <t xml:space="preserve">Line total (Rs.)</t>
  </si>
  <si>
    <t xml:space="preserve">Include?</t>
  </si>
  <si>
    <t xml:space="preserve">Notes</t>
  </si>
  <si>
    <t xml:space="preserve">Robocraze ESP32 Dev Board (30-pin)</t>
  </si>
  <si>
    <t xml:space="preserve">Yes</t>
  </si>
  <si>
    <t xml:space="preserve">One spare for the conference. Confirm the listing says 30-pin before paying; 38-pin boards will not fit the expansion boards.</t>
  </si>
  <si>
    <t xml:space="preserve">USB cable for programming</t>
  </si>
  <si>
    <t xml:space="preserve">Needed to upload code and power the board. Check it carries data, not just charging.</t>
  </si>
  <si>
    <t xml:space="preserve">TekBud ESP32 30-pin expansion board</t>
  </si>
  <si>
    <t xml:space="preserve">Skip for now; consider later for the conference (screw-down power jack, neat 3-pin sensor connectors, fewer loose wires while travelling).</t>
  </si>
  <si>
    <t xml:space="preserve">ROBOMALLS ESP32 30-pin expansion board</t>
  </si>
  <si>
    <t xml:space="preserve">Alternative to TekBud, but only 2 ratings. TekBud is the safer pick.</t>
  </si>
  <si>
    <t xml:space="preserve">TOTAL (items marked Yes)</t>
  </si>
  <si>
    <t xml:space="preserve">Earlier budget allowance for 2 ESP32 boards</t>
  </si>
  <si>
    <t xml:space="preserve">Rs. 700 - 1,000 (from the budget sheet)</t>
  </si>
  <si>
    <t xml:space="preserve">Before you pay and when the board arrives</t>
  </si>
  <si>
    <t xml:space="preserve">#</t>
  </si>
  <si>
    <t xml:space="preserve">Check / setting</t>
  </si>
  <si>
    <t xml:space="preserve">Why it matters</t>
  </si>
  <si>
    <t xml:space="preserve">Done?</t>
  </si>
  <si>
    <t xml:space="preserve">Listing says 30-pin ESP32</t>
  </si>
  <si>
    <t xml:space="preserve">Expansion boards are made for the 30-pin version; 38-pin boards will not fit.</t>
  </si>
  <si>
    <t xml:space="preserve">Order 2 boards</t>
  </si>
  <si>
    <t xml:space="preserve">One spare for the conference.</t>
  </si>
  <si>
    <t xml:space="preserve">Skip the expansion board for now</t>
  </si>
  <si>
    <t xml:space="preserve">Your kit's jumper wires and a plain ESP32 are enough for building and testing.</t>
  </si>
  <si>
    <t xml:space="preserve">If buying an expansion board, pick TekBud</t>
  </si>
  <si>
    <t xml:space="preserve">19 reviews (4.6) versus only 2 for ROBOMALLS.</t>
  </si>
  <si>
    <t xml:space="preserve">Set the expansion board voltage jumper to 3.3V for the soil sensor rows</t>
  </si>
  <si>
    <t xml:space="preserve">The ESP32 pins tolerate only 3.3V.</t>
  </si>
  <si>
    <t xml:space="preserve">Take the relay's 5V from the separate 5V pin</t>
  </si>
  <si>
    <t xml:space="preserve">Keeps the sensor rows at 3.3V while the relay gets its 5V.</t>
  </si>
  <si>
    <t xml:space="preserve">Ignore the sponsored ATtiny85 and ESP32-C3 Mini items</t>
  </si>
  <si>
    <t xml:space="preserve">ATtiny85 has no WiFi; C3 Mini is a smaller chip with fewer pins.</t>
  </si>
  <si>
    <t xml:space="preserve">Checks done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</si>
</sst>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20"/>
    <col collapsed="false" customWidth="true" hidden="false" outlineLevel="0" max="5" min="5" style="0" width="3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23.85" hidden="false" customHeight="false" outlineLevel="0" collapsed="false">
      <c r="A4" s="3" t="s">
        <v>6</v>
      </c>
      <c r="B4" s="4" t="s">
        <v>7</v>
      </c>
      <c r="C4" s="4" t="s">
        <v>8</v>
      </c>
      <c r="D4" s="4" t="s">
        <v>9</v>
      </c>
      <c r="E4" s="5" t="s">
        <v>10</v>
      </c>
    </row>
    <row r="5" customFormat="false" ht="23.85" hidden="false" customHeight="false" outlineLevel="0" collapsed="false">
      <c r="A5" s="3" t="s">
        <v>11</v>
      </c>
      <c r="B5" s="4" t="s">
        <v>12</v>
      </c>
      <c r="C5" s="4" t="s">
        <v>13</v>
      </c>
      <c r="D5" s="4" t="s">
        <v>14</v>
      </c>
      <c r="E5" s="4" t="s">
        <v>15</v>
      </c>
    </row>
    <row r="6" customFormat="false" ht="15" hidden="false" customHeight="false" outlineLevel="0" collapsed="false">
      <c r="A6" s="3" t="s">
        <v>16</v>
      </c>
      <c r="B6" s="4" t="s">
        <v>17</v>
      </c>
      <c r="C6" s="4" t="s">
        <v>18</v>
      </c>
      <c r="D6" s="4" t="s">
        <v>19</v>
      </c>
      <c r="E6" s="4" t="s">
        <v>20</v>
      </c>
    </row>
    <row r="7" customFormat="false" ht="15" hidden="false" customHeight="false" outlineLevel="0" collapsed="false">
      <c r="A7" s="3" t="s">
        <v>21</v>
      </c>
      <c r="B7" s="4" t="s">
        <v>22</v>
      </c>
      <c r="C7" s="4" t="s">
        <v>23</v>
      </c>
      <c r="D7" s="4" t="s">
        <v>24</v>
      </c>
      <c r="E7" s="4" t="s">
        <v>25</v>
      </c>
    </row>
    <row r="8" customFormat="false" ht="15" hidden="false" customHeight="false" outlineLevel="0" collapsed="false">
      <c r="A8" s="3" t="s">
        <v>26</v>
      </c>
      <c r="B8" s="4" t="s">
        <v>27</v>
      </c>
      <c r="C8" s="4" t="s">
        <v>28</v>
      </c>
      <c r="D8" s="4" t="s">
        <v>24</v>
      </c>
      <c r="E8" s="4" t="s">
        <v>25</v>
      </c>
    </row>
    <row r="10" customFormat="false" ht="15" hidden="false" customHeight="false" outlineLevel="0" collapsed="false">
      <c r="A10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8"/>
    <col collapsed="false" customWidth="true" hidden="false" outlineLevel="0" max="4" min="3" style="0" width="16"/>
    <col collapsed="false" customWidth="true" hidden="false" outlineLevel="0" max="5" min="5" style="0" width="11"/>
    <col collapsed="false" customWidth="true" hidden="false" outlineLevel="0" max="6" min="6" style="0" width="80"/>
  </cols>
  <sheetData>
    <row r="1" customFormat="false" ht="15" hidden="false" customHeight="false" outlineLevel="0" collapsed="false">
      <c r="A1" s="1" t="s">
        <v>30</v>
      </c>
    </row>
    <row r="2" customFormat="false" ht="15" hidden="false" customHeight="false" outlineLevel="0" collapsed="false">
      <c r="A2" s="6" t="s">
        <v>31</v>
      </c>
    </row>
    <row r="4" customFormat="false" ht="15" hidden="false" customHeight="false" outlineLevel="0" collapsed="false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</row>
    <row r="5" customFormat="false" ht="23.85" hidden="false" customHeight="false" outlineLevel="0" collapsed="false">
      <c r="A5" s="3" t="s">
        <v>38</v>
      </c>
      <c r="B5" s="7" t="n">
        <v>2</v>
      </c>
      <c r="C5" s="8"/>
      <c r="D5" s="9" t="n">
        <f aca="false">IF(E5="Yes",B5*C5,0)</f>
        <v>0</v>
      </c>
      <c r="E5" s="10" t="s">
        <v>39</v>
      </c>
      <c r="F5" s="4" t="s">
        <v>40</v>
      </c>
    </row>
    <row r="6" customFormat="false" ht="15" hidden="false" customHeight="false" outlineLevel="0" collapsed="false">
      <c r="A6" s="3" t="s">
        <v>41</v>
      </c>
      <c r="B6" s="7" t="n">
        <v>1</v>
      </c>
      <c r="C6" s="8"/>
      <c r="D6" s="9" t="n">
        <f aca="false">IF(E6="Yes",B6*C6,0)</f>
        <v>0</v>
      </c>
      <c r="E6" s="10" t="s">
        <v>39</v>
      </c>
      <c r="F6" s="4" t="s">
        <v>42</v>
      </c>
    </row>
    <row r="7" customFormat="false" ht="23.85" hidden="false" customHeight="false" outlineLevel="0" collapsed="false">
      <c r="A7" s="3" t="s">
        <v>43</v>
      </c>
      <c r="B7" s="7" t="n">
        <v>1</v>
      </c>
      <c r="C7" s="8"/>
      <c r="D7" s="9" t="n">
        <f aca="false">IF(E7="Yes",B7*C7,0)</f>
        <v>0</v>
      </c>
      <c r="E7" s="10" t="s">
        <v>25</v>
      </c>
      <c r="F7" s="4" t="s">
        <v>44</v>
      </c>
    </row>
    <row r="8" customFormat="false" ht="15" hidden="false" customHeight="false" outlineLevel="0" collapsed="false">
      <c r="A8" s="3" t="s">
        <v>45</v>
      </c>
      <c r="B8" s="7" t="n">
        <v>0</v>
      </c>
      <c r="C8" s="8"/>
      <c r="D8" s="9" t="n">
        <f aca="false">IF(E8="Yes",B8*C8,0)</f>
        <v>0</v>
      </c>
      <c r="E8" s="10" t="s">
        <v>25</v>
      </c>
      <c r="F8" s="4" t="s">
        <v>46</v>
      </c>
    </row>
    <row r="10" customFormat="false" ht="15" hidden="false" customHeight="false" outlineLevel="0" collapsed="false">
      <c r="A10" s="11" t="s">
        <v>47</v>
      </c>
      <c r="B10" s="12"/>
      <c r="C10" s="12"/>
      <c r="D10" s="13" t="n">
        <f aca="false">SUM(D5:D8)</f>
        <v>0</v>
      </c>
      <c r="E10" s="12"/>
      <c r="F10" s="12"/>
    </row>
    <row r="11" customFormat="false" ht="15" hidden="false" customHeight="false" outlineLevel="0" collapsed="false">
      <c r="A11" s="14" t="s">
        <v>48</v>
      </c>
      <c r="C11" s="15" t="s">
        <v>49</v>
      </c>
    </row>
  </sheetData>
  <dataValidations count="1">
    <dataValidation allowBlank="false" errorStyle="stop" operator="between" showDropDown="false" showErrorMessage="false" showInputMessage="false" sqref="E5:E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7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50</v>
      </c>
    </row>
    <row r="3" customFormat="false" ht="15" hidden="false" customHeight="false" outlineLevel="0" collapsed="false">
      <c r="A3" s="2" t="s">
        <v>51</v>
      </c>
      <c r="B3" s="2" t="s">
        <v>52</v>
      </c>
      <c r="C3" s="2" t="s">
        <v>53</v>
      </c>
      <c r="D3" s="2" t="s">
        <v>54</v>
      </c>
    </row>
    <row r="4" customFormat="false" ht="15" hidden="false" customHeight="false" outlineLevel="0" collapsed="false">
      <c r="A4" s="4" t="n">
        <v>1</v>
      </c>
      <c r="B4" s="4" t="s">
        <v>55</v>
      </c>
      <c r="C4" s="4" t="s">
        <v>56</v>
      </c>
      <c r="D4" s="10" t="s">
        <v>25</v>
      </c>
    </row>
    <row r="5" customFormat="false" ht="15" hidden="false" customHeight="false" outlineLevel="0" collapsed="false">
      <c r="A5" s="4" t="n">
        <v>2</v>
      </c>
      <c r="B5" s="4" t="s">
        <v>57</v>
      </c>
      <c r="C5" s="4" t="s">
        <v>58</v>
      </c>
      <c r="D5" s="10" t="s">
        <v>25</v>
      </c>
    </row>
    <row r="6" customFormat="false" ht="15" hidden="false" customHeight="false" outlineLevel="0" collapsed="false">
      <c r="A6" s="4" t="n">
        <v>3</v>
      </c>
      <c r="B6" s="4" t="s">
        <v>59</v>
      </c>
      <c r="C6" s="4" t="s">
        <v>60</v>
      </c>
      <c r="D6" s="10" t="s">
        <v>25</v>
      </c>
    </row>
    <row r="7" customFormat="false" ht="15" hidden="false" customHeight="false" outlineLevel="0" collapsed="false">
      <c r="A7" s="4" t="n">
        <v>4</v>
      </c>
      <c r="B7" s="4" t="s">
        <v>61</v>
      </c>
      <c r="C7" s="4" t="s">
        <v>62</v>
      </c>
      <c r="D7" s="10" t="s">
        <v>25</v>
      </c>
    </row>
    <row r="8" customFormat="false" ht="15" hidden="false" customHeight="false" outlineLevel="0" collapsed="false">
      <c r="A8" s="4" t="n">
        <v>5</v>
      </c>
      <c r="B8" s="4" t="s">
        <v>63</v>
      </c>
      <c r="C8" s="4" t="s">
        <v>64</v>
      </c>
      <c r="D8" s="10" t="s">
        <v>25</v>
      </c>
    </row>
    <row r="9" customFormat="false" ht="15" hidden="false" customHeight="false" outlineLevel="0" collapsed="false">
      <c r="A9" s="4" t="n">
        <v>6</v>
      </c>
      <c r="B9" s="4" t="s">
        <v>65</v>
      </c>
      <c r="C9" s="4" t="s">
        <v>66</v>
      </c>
      <c r="D9" s="10" t="s">
        <v>25</v>
      </c>
    </row>
    <row r="10" customFormat="false" ht="15" hidden="false" customHeight="false" outlineLevel="0" collapsed="false">
      <c r="A10" s="4" t="n">
        <v>7</v>
      </c>
      <c r="B10" s="4" t="s">
        <v>67</v>
      </c>
      <c r="C10" s="4" t="s">
        <v>68</v>
      </c>
      <c r="D10" s="10" t="s">
        <v>25</v>
      </c>
    </row>
    <row r="12" customFormat="false" ht="15" hidden="false" customHeight="false" outlineLevel="0" collapsed="false">
      <c r="B12" s="14" t="s">
        <v>69</v>
      </c>
      <c r="D12" s="15" t="str">
        <f aca="false">COUNTIF(D4:D10,"Yes")&amp;" / "&amp;COUNTA(B4:B10)</f>
        <v>0 / 7</v>
      </c>
    </row>
  </sheetData>
  <dataValidations count="1">
    <dataValidation allowBlank="false" errorStyle="stop" operator="between" showDropDown="false" showErrorMessage="false" showInputMessage="false" sqref="D4:D10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2026-10-19T04:47:41Z</dcterms:created>
  <dc:creator>openpyxl</dc:creator>
  <dc:description/>
  <dc:language>en-US</dc:language>
  <cp:lastModifiedBy/>
  <dcterms:modified xsi:type="dcterms:W3CDTF">2026-10-19T04:47:41Z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